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b3e5815d9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LM_F1_Results" sheetId="1" r:id="R51aedcdffec64ca3"/>
    <x:sheet xmlns:r="http://schemas.openxmlformats.org/officeDocument/2006/relationships" name="Model_Summary" sheetId="2" r:id="Rda9e3caaecff4666"/>
    <x:sheet xmlns:r="http://schemas.openxmlformats.org/officeDocument/2006/relationships" name="Scott_Knott_Wide" sheetId="3" r:id="R35656f710a2247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b885061254d17" /><Relationship Type="http://schemas.openxmlformats.org/officeDocument/2006/relationships/theme" Target="/xl/theme/theme1.xml" Id="R4977e571d06c4a97" /><Relationship Type="http://schemas.openxmlformats.org/officeDocument/2006/relationships/sharedStrings" Target="/xl/sharedStrings.xml" Id="Rdb063fc479d94de2" /><Relationship Type="http://schemas.openxmlformats.org/officeDocument/2006/relationships/worksheet" Target="/xl/worksheets/sheet1.xml" Id="R51aedcdffec64ca3" /><Relationship Type="http://schemas.openxmlformats.org/officeDocument/2006/relationships/worksheet" Target="/xl/worksheets/sheet2.xml" Id="Rda9e3caaecff4666" /><Relationship Type="http://schemas.openxmlformats.org/officeDocument/2006/relationships/worksheet" Target="/xl/worksheets/sheet3.xml" Id="R35656f710a2247af" /></Relationships>
</file>

<file path=xl/tables/table1.xml><?xml version="1.0" encoding="utf-8"?>
<x:table xmlns:x="http://schemas.openxmlformats.org/spreadsheetml/2006/main" id="1" name="LLMF1Table" displayName="LLMF1Table" ref="A1:D25" headerRowCount="1">
  <x:tableColumns count="4">
    <x:tableColumn id="1" name="Model"/>
    <x:tableColumn id="2" name="UseCase"/>
    <x:tableColumn id="3" name="Domain"/>
    <x:tableColumn id="4" name="F1"/>
  </x:tableColumns>
  <x:tableStyleInfo name="TableStyleMedium2" showRowStripes="1"/>
</x:table>
</file>

<file path=xl/tables/table2.xml><?xml version="1.0" encoding="utf-8"?>
<x:table xmlns:x="http://schemas.openxmlformats.org/spreadsheetml/2006/main" id="2" name="ModelSummaryTable" displayName="ModelSummaryTable" ref="A1:C7" headerRowCount="1">
  <x:tableColumns count="3">
    <x:tableColumn id="1" name="Model"/>
    <x:tableColumn id="2" name="Mean F1"/>
    <x:tableColumn id="3" name="Number of Use Cases"/>
  </x:tableColumns>
  <x:tableStyleInfo name="TableStyleMedium2" showRowStripes="1"/>
</x:table>
</file>

<file path=xl/tables/table3.xml><?xml version="1.0" encoding="utf-8"?>
<x:table xmlns:x="http://schemas.openxmlformats.org/spreadsheetml/2006/main" id="3" name="ScottKnottWideTable" displayName="ScottKnottWideTable" ref="A1:G5" headerRowCount="1">
  <x:tableColumns count="7">
    <x:tableColumn id="1" name="UseCase"/>
    <x:tableColumn id="2" name="Claude"/>
    <x:tableColumn id="3" name="GPT"/>
    <x:tableColumn id="4" name="Qwen"/>
    <x:tableColumn id="5" name="DeepSeek"/>
    <x:tableColumn id="6" name="Grok"/>
    <x:tableColumn id="7" name="MiniMax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959b2ba28e44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5497ec184e4d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4187586b404b9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0" hidden="0" customWidth="1"/>
  </x:cols>
  <x:sheetData>
    <x:row r="1">
      <x:c r="A1" s="10" t="str">
        <x:v>Model</x:v>
      </x:c>
      <x:c r="B1" s="10" t="str">
        <x:v>UseCase</x:v>
      </x:c>
      <x:c r="C1" s="10" t="str">
        <x:v>Domain</x:v>
      </x:c>
      <x:c r="D1" s="10" t="str">
        <x:v>F1</x:v>
      </x:c>
    </x:row>
    <x:row r="2">
      <x:c r="A2" s="11" t="str">
        <x:v>Claude</x:v>
      </x:c>
      <x:c r="B2" s="11" t="str">
        <x:v>C-REG</x:v>
      </x:c>
      <x:c r="C2" s="11" t="str">
        <x:v>Business</x:v>
      </x:c>
      <x:c r="D2" s="14" t="n">
        <x:v>0.96</x:v>
      </x:c>
    </x:row>
    <x:row r="3">
      <x:c r="A3" s="11" t="str">
        <x:v>GPT</x:v>
      </x:c>
      <x:c r="B3" s="11" t="str">
        <x:v>C-REG</x:v>
      </x:c>
      <x:c r="C3" s="11" t="str">
        <x:v>Business</x:v>
      </x:c>
      <x:c r="D3" s="14" t="n">
        <x:v>0.91</x:v>
      </x:c>
    </x:row>
    <x:row r="4">
      <x:c r="A4" s="11" t="str">
        <x:v>DeepSeek</x:v>
      </x:c>
      <x:c r="B4" s="11" t="str">
        <x:v>C-REG</x:v>
      </x:c>
      <x:c r="C4" s="11" t="str">
        <x:v>Business</x:v>
      </x:c>
      <x:c r="D4" s="14" t="n">
        <x:v>0.9</x:v>
      </x:c>
    </x:row>
    <x:row r="5">
      <x:c r="A5" s="11" t="str">
        <x:v>Qwen</x:v>
      </x:c>
      <x:c r="B5" s="11" t="str">
        <x:v>C-REG</x:v>
      </x:c>
      <x:c r="C5" s="11" t="str">
        <x:v>Business</x:v>
      </x:c>
      <x:c r="D5" s="14" t="n">
        <x:v>0.9</x:v>
      </x:c>
    </x:row>
    <x:row r="6">
      <x:c r="A6" s="11" t="str">
        <x:v>Grok</x:v>
      </x:c>
      <x:c r="B6" s="11" t="str">
        <x:v>C-REG</x:v>
      </x:c>
      <x:c r="C6" s="11" t="str">
        <x:v>Business</x:v>
      </x:c>
      <x:c r="D6" s="14" t="n">
        <x:v>0.85</x:v>
      </x:c>
    </x:row>
    <x:row r="7">
      <x:c r="A7" s="11" t="str">
        <x:v>MiniMax</x:v>
      </x:c>
      <x:c r="B7" s="11" t="str">
        <x:v>C-REG</x:v>
      </x:c>
      <x:c r="C7" s="11" t="str">
        <x:v>Business</x:v>
      </x:c>
      <x:c r="D7" s="14" t="n">
        <x:v>0.86</x:v>
      </x:c>
    </x:row>
    <x:row r="8">
      <x:c r="A8" s="11" t="str">
        <x:v>Claude</x:v>
      </x:c>
      <x:c r="B8" s="11" t="str">
        <x:v>RestoSys</x:v>
      </x:c>
      <x:c r="C8" s="11" t="str">
        <x:v>Business</x:v>
      </x:c>
      <x:c r="D8" s="14" t="n">
        <x:v>0.92</x:v>
      </x:c>
    </x:row>
    <x:row r="9">
      <x:c r="A9" s="11" t="str">
        <x:v>GPT</x:v>
      </x:c>
      <x:c r="B9" s="11" t="str">
        <x:v>RestoSys</x:v>
      </x:c>
      <x:c r="C9" s="11" t="str">
        <x:v>Business</x:v>
      </x:c>
      <x:c r="D9" s="14" t="n">
        <x:v>0.88</x:v>
      </x:c>
    </x:row>
    <x:row r="10">
      <x:c r="A10" s="11" t="str">
        <x:v>DeepSeek</x:v>
      </x:c>
      <x:c r="B10" s="11" t="str">
        <x:v>RestoSys</x:v>
      </x:c>
      <x:c r="C10" s="11" t="str">
        <x:v>Business</x:v>
      </x:c>
      <x:c r="D10" s="14" t="n">
        <x:v>0.9</x:v>
      </x:c>
    </x:row>
    <x:row r="11">
      <x:c r="A11" s="11" t="str">
        <x:v>Qwen</x:v>
      </x:c>
      <x:c r="B11" s="11" t="str">
        <x:v>RestoSys</x:v>
      </x:c>
      <x:c r="C11" s="11" t="str">
        <x:v>Business</x:v>
      </x:c>
      <x:c r="D11" s="14" t="n">
        <x:v>0.86</x:v>
      </x:c>
    </x:row>
    <x:row r="12">
      <x:c r="A12" s="11" t="str">
        <x:v>Grok</x:v>
      </x:c>
      <x:c r="B12" s="11" t="str">
        <x:v>RestoSys</x:v>
      </x:c>
      <x:c r="C12" s="11" t="str">
        <x:v>Business</x:v>
      </x:c>
      <x:c r="D12" s="14" t="n">
        <x:v>0.85</x:v>
      </x:c>
    </x:row>
    <x:row r="13">
      <x:c r="A13" s="11" t="str">
        <x:v>MiniMax</x:v>
      </x:c>
      <x:c r="B13" s="11" t="str">
        <x:v>RestoSys</x:v>
      </x:c>
      <x:c r="C13" s="11" t="str">
        <x:v>Business</x:v>
      </x:c>
      <x:c r="D13" s="14" t="n">
        <x:v>0.9</x:v>
      </x:c>
    </x:row>
    <x:row r="14">
      <x:c r="A14" s="11" t="str">
        <x:v>Claude</x:v>
      </x:c>
      <x:c r="B14" s="11" t="str">
        <x:v>ALS</x:v>
      </x:c>
      <x:c r="C14" s="11" t="str">
        <x:v>Realtime</x:v>
      </x:c>
      <x:c r="D14" s="14" t="n">
        <x:v>0.94</x:v>
      </x:c>
    </x:row>
    <x:row r="15">
      <x:c r="A15" s="11" t="str">
        <x:v>GPT</x:v>
      </x:c>
      <x:c r="B15" s="11" t="str">
        <x:v>ALS</x:v>
      </x:c>
      <x:c r="C15" s="11" t="str">
        <x:v>Realtime</x:v>
      </x:c>
      <x:c r="D15" s="14" t="n">
        <x:v>0.9</x:v>
      </x:c>
    </x:row>
    <x:row r="16">
      <x:c r="A16" s="11" t="str">
        <x:v>DeepSeek</x:v>
      </x:c>
      <x:c r="B16" s="11" t="str">
        <x:v>ALS</x:v>
      </x:c>
      <x:c r="C16" s="11" t="str">
        <x:v>Realtime</x:v>
      </x:c>
      <x:c r="D16" s="14" t="n">
        <x:v>0.88</x:v>
      </x:c>
    </x:row>
    <x:row r="17">
      <x:c r="A17" s="11" t="str">
        <x:v>Qwen</x:v>
      </x:c>
      <x:c r="B17" s="11" t="str">
        <x:v>ALS</x:v>
      </x:c>
      <x:c r="C17" s="11" t="str">
        <x:v>Realtime</x:v>
      </x:c>
      <x:c r="D17" s="14" t="n">
        <x:v>0.9</x:v>
      </x:c>
    </x:row>
    <x:row r="18">
      <x:c r="A18" s="11" t="str">
        <x:v>Grok</x:v>
      </x:c>
      <x:c r="B18" s="11" t="str">
        <x:v>ALS</x:v>
      </x:c>
      <x:c r="C18" s="11" t="str">
        <x:v>Realtime</x:v>
      </x:c>
      <x:c r="D18" s="14" t="n">
        <x:v>0.85</x:v>
      </x:c>
    </x:row>
    <x:row r="19">
      <x:c r="A19" s="11" t="str">
        <x:v>MiniMax</x:v>
      </x:c>
      <x:c r="B19" s="11" t="str">
        <x:v>ALS</x:v>
      </x:c>
      <x:c r="C19" s="11" t="str">
        <x:v>Realtime</x:v>
      </x:c>
      <x:c r="D19" s="14" t="n">
        <x:v>0.81</x:v>
      </x:c>
    </x:row>
    <x:row r="20">
      <x:c r="A20" s="11" t="str">
        <x:v>Claude</x:v>
      </x:c>
      <x:c r="B20" s="11" t="str">
        <x:v>Rice-Cooker</x:v>
      </x:c>
      <x:c r="C20" s="11" t="str">
        <x:v>Realtime</x:v>
      </x:c>
      <x:c r="D20" s="14" t="n">
        <x:v>0.92</x:v>
      </x:c>
    </x:row>
    <x:row r="21">
      <x:c r="A21" s="11" t="str">
        <x:v>GPT</x:v>
      </x:c>
      <x:c r="B21" s="11" t="str">
        <x:v>Rice-Cooker</x:v>
      </x:c>
      <x:c r="C21" s="11" t="str">
        <x:v>Realtime</x:v>
      </x:c>
      <x:c r="D21" s="14" t="n">
        <x:v>0.92</x:v>
      </x:c>
    </x:row>
    <x:row r="22">
      <x:c r="A22" s="11" t="str">
        <x:v>DeepSeek</x:v>
      </x:c>
      <x:c r="B22" s="11" t="str">
        <x:v>Rice-Cooker</x:v>
      </x:c>
      <x:c r="C22" s="11" t="str">
        <x:v>Realtime</x:v>
      </x:c>
      <x:c r="D22" s="14" t="n">
        <x:v>0.87</x:v>
      </x:c>
    </x:row>
    <x:row r="23">
      <x:c r="A23" s="11" t="str">
        <x:v>Qwen</x:v>
      </x:c>
      <x:c r="B23" s="11" t="str">
        <x:v>Rice-Cooker</x:v>
      </x:c>
      <x:c r="C23" s="11" t="str">
        <x:v>Realtime</x:v>
      </x:c>
      <x:c r="D23" s="14" t="n">
        <x:v>0.88</x:v>
      </x:c>
    </x:row>
    <x:row r="24">
      <x:c r="A24" s="11" t="str">
        <x:v>Grok</x:v>
      </x:c>
      <x:c r="B24" s="11" t="str">
        <x:v>Rice-Cooker</x:v>
      </x:c>
      <x:c r="C24" s="11" t="str">
        <x:v>Realtime</x:v>
      </x:c>
      <x:c r="D24" s="14" t="n">
        <x:v>0.84</x:v>
      </x:c>
    </x:row>
    <x:row r="25">
      <x:c r="A25" s="11" t="str">
        <x:v>MiniMax</x:v>
      </x:c>
      <x:c r="B25" s="11" t="str">
        <x:v>Rice-Cooker</x:v>
      </x:c>
      <x:c r="C25" s="11" t="str">
        <x:v>Realtime</x:v>
      </x:c>
      <x:c r="D25" s="14" t="n">
        <x:v>0.84</x:v>
      </x:c>
    </x:row>
  </x:sheetData>
  <x:pageMargins left="0.7" right="0.7" top="0.75" bottom="0.75" header="0.3" footer="0.3"/>
  <x:tableParts count="1">
    <x:tablePart xmlns:r="http://schemas.openxmlformats.org/officeDocument/2006/relationships" r:id="Rfc959b2ba28e44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.130000114440918" hidden="0" customWidth="1"/>
    <x:col min="3" max="3" width="16.75" hidden="0" customWidth="1"/>
  </x:cols>
  <x:sheetData>
    <x:row r="1">
      <x:c r="A1" s="4" t="str">
        <x:v>Model</x:v>
      </x:c>
      <x:c r="B1" s="4" t="str">
        <x:v>Mean F1</x:v>
      </x:c>
      <x:c r="C1" s="4" t="str">
        <x:v>Number of Use Cases</x:v>
      </x:c>
    </x:row>
    <x:row r="2">
      <x:c r="A2" t="str">
        <x:v>Claude</x:v>
      </x:c>
      <x:c r="B2" s="16" t="n">
        <x:f>AVERAGEIF(LLM_F1_Results!$A$2:$A$25,A2,LLM_F1_Results!$D$2:$D$25)</x:f>
        <x:v>0.9349999999999999</x:v>
      </x:c>
      <x:c r="C2" t="n">
        <x:f>COUNTIF(LLM_F1_Results!$A$2:$A$25,A2)</x:f>
        <x:v>4</x:v>
      </x:c>
    </x:row>
    <x:row r="3">
      <x:c r="A3" t="str">
        <x:v>DeepSeek</x:v>
      </x:c>
      <x:c r="B3" s="16" t="n">
        <x:f>AVERAGEIF(LLM_F1_Results!$A$2:$A$25,A3,LLM_F1_Results!$D$2:$D$25)</x:f>
        <x:v>0.8875000000000001</x:v>
      </x:c>
      <x:c r="C3" t="n">
        <x:f>COUNTIF(LLM_F1_Results!$A$2:$A$25,A3)</x:f>
        <x:v>4</x:v>
      </x:c>
    </x:row>
    <x:row r="4">
      <x:c r="A4" t="str">
        <x:v>GPT</x:v>
      </x:c>
      <x:c r="B4" s="16" t="n">
        <x:f>AVERAGEIF(LLM_F1_Results!$A$2:$A$25,A4,LLM_F1_Results!$D$2:$D$25)</x:f>
        <x:v>0.9025</x:v>
      </x:c>
      <x:c r="C4" t="n">
        <x:f>COUNTIF(LLM_F1_Results!$A$2:$A$25,A4)</x:f>
        <x:v>4</x:v>
      </x:c>
    </x:row>
    <x:row r="5">
      <x:c r="A5" t="str">
        <x:v>Grok</x:v>
      </x:c>
      <x:c r="B5" s="16" t="n">
        <x:f>AVERAGEIF(LLM_F1_Results!$A$2:$A$25,A5,LLM_F1_Results!$D$2:$D$25)</x:f>
        <x:v>0.8474999999999999</x:v>
      </x:c>
      <x:c r="C5" t="n">
        <x:f>COUNTIF(LLM_F1_Results!$A$2:$A$25,A5)</x:f>
        <x:v>4</x:v>
      </x:c>
    </x:row>
    <x:row r="6">
      <x:c r="A6" t="str">
        <x:v>MiniMax</x:v>
      </x:c>
      <x:c r="B6" s="16" t="n">
        <x:f>AVERAGEIF(LLM_F1_Results!$A$2:$A$25,A6,LLM_F1_Results!$D$2:$D$25)</x:f>
        <x:v>0.8525</x:v>
      </x:c>
      <x:c r="C6" t="n">
        <x:f>COUNTIF(LLM_F1_Results!$A$2:$A$25,A6)</x:f>
        <x:v>4</x:v>
      </x:c>
    </x:row>
    <x:row r="7">
      <x:c r="A7" t="str">
        <x:v>Qwen</x:v>
      </x:c>
      <x:c r="B7" s="16" t="n">
        <x:f>AVERAGEIF(LLM_F1_Results!$A$2:$A$25,A7,LLM_F1_Results!$D$2:$D$25)</x:f>
        <x:v>0.885</x:v>
      </x:c>
      <x:c r="C7" t="n">
        <x:f>COUNTIF(LLM_F1_Results!$A$2:$A$25,A7)</x:f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95497ec184e4d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5.75" hidden="0" customWidth="1"/>
    <x:col min="3" max="3" width="3.75" hidden="0" customWidth="1"/>
    <x:col min="4" max="4" width="5.130000114440918" hidden="0" customWidth="1"/>
    <x:col min="5" max="5" width="8.130000114440918" hidden="0" customWidth="1"/>
    <x:col min="6" max="6" width="4.25" hidden="0" customWidth="1"/>
    <x:col min="7" max="7" width="7.380000114440918" hidden="0" customWidth="1"/>
  </x:cols>
  <x:sheetData>
    <x:row r="1">
      <x:c r="A1" s="4" t="str">
        <x:v>UseCase</x:v>
      </x:c>
      <x:c r="B1" s="4" t="str">
        <x:v>Claude</x:v>
      </x:c>
      <x:c r="C1" s="4" t="str">
        <x:v>GPT</x:v>
      </x:c>
      <x:c r="D1" s="4" t="str">
        <x:v>Qwen</x:v>
      </x:c>
      <x:c r="E1" s="4" t="str">
        <x:v>DeepSeek</x:v>
      </x:c>
      <x:c r="F1" s="4" t="str">
        <x:v>Grok</x:v>
      </x:c>
      <x:c r="G1" s="4" t="str">
        <x:v>MiniMax</x:v>
      </x:c>
    </x:row>
    <x:row r="2">
      <x:c r="A2" t="str">
        <x:v>C-REG</x:v>
      </x:c>
      <x:c r="B2" s="16" t="n">
        <x:v>0.96</x:v>
      </x:c>
      <x:c r="C2" s="16" t="n">
        <x:v>0.91</x:v>
      </x:c>
      <x:c r="D2" s="16" t="n">
        <x:v>0.9</x:v>
      </x:c>
      <x:c r="E2" s="16" t="n">
        <x:v>0.9</x:v>
      </x:c>
      <x:c r="F2" s="16" t="n">
        <x:v>0.85</x:v>
      </x:c>
      <x:c r="G2" s="16" t="n">
        <x:v>0.86</x:v>
      </x:c>
    </x:row>
    <x:row r="3">
      <x:c r="A3" t="str">
        <x:v>RestoSys</x:v>
      </x:c>
      <x:c r="B3" s="16" t="n">
        <x:v>0.92</x:v>
      </x:c>
      <x:c r="C3" s="16" t="n">
        <x:v>0.88</x:v>
      </x:c>
      <x:c r="D3" s="16" t="n">
        <x:v>0.86</x:v>
      </x:c>
      <x:c r="E3" s="16" t="n">
        <x:v>0.9</x:v>
      </x:c>
      <x:c r="F3" s="16" t="n">
        <x:v>0.85</x:v>
      </x:c>
      <x:c r="G3" s="16" t="n">
        <x:v>0.9</x:v>
      </x:c>
    </x:row>
    <x:row r="4">
      <x:c r="A4" t="str">
        <x:v>ALS</x:v>
      </x:c>
      <x:c r="B4" s="16" t="n">
        <x:v>0.94</x:v>
      </x:c>
      <x:c r="C4" s="16" t="n">
        <x:v>0.9</x:v>
      </x:c>
      <x:c r="D4" s="16" t="n">
        <x:v>0.9</x:v>
      </x:c>
      <x:c r="E4" s="16" t="n">
        <x:v>0.88</x:v>
      </x:c>
      <x:c r="F4" s="16" t="n">
        <x:v>0.85</x:v>
      </x:c>
      <x:c r="G4" s="16" t="n">
        <x:v>0.81</x:v>
      </x:c>
    </x:row>
    <x:row r="5">
      <x:c r="A5" t="str">
        <x:v>Rice-Cooker</x:v>
      </x:c>
      <x:c r="B5" s="16" t="n">
        <x:v>0.92</x:v>
      </x:c>
      <x:c r="C5" s="16" t="n">
        <x:v>0.92</x:v>
      </x:c>
      <x:c r="D5" s="16" t="n">
        <x:v>0.88</x:v>
      </x:c>
      <x:c r="E5" s="16" t="n">
        <x:v>0.87</x:v>
      </x:c>
      <x:c r="F5" s="16" t="n">
        <x:v>0.84</x:v>
      </x:c>
      <x:c r="G5" s="16" t="n">
        <x:v>0.84</x:v>
      </x:c>
    </x:row>
  </x:sheetData>
  <x:pageMargins left="0.7" right="0.7" top="0.75" bottom="0.75" header="0.3" footer="0.3"/>
  <x:tableParts count="1">
    <x:tablePart xmlns:r="http://schemas.openxmlformats.org/officeDocument/2006/relationships" r:id="Rf04187586b404b9d"/>
  </x:tableParts>
</x:worksheet>
</file>